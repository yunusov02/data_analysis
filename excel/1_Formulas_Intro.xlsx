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silbek\data_analysis\"/>
    </mc:Choice>
  </mc:AlternateContent>
  <xr:revisionPtr revIDLastSave="0" documentId="13_ncr:1_{2E982842-8844-4BE2-B3BC-1A14B4CE3CB1}" xr6:coauthVersionLast="47" xr6:coauthVersionMax="47" xr10:uidLastSave="{00000000-0000-0000-0000-000000000000}"/>
  <bookViews>
    <workbookView xWindow="-120" yWindow="-120" windowWidth="29040" windowHeight="1584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1" l="1"/>
  <c r="N4" i="1" s="1"/>
  <c r="M5" i="1"/>
  <c r="M6" i="1"/>
  <c r="M7" i="1"/>
  <c r="N7" i="1" s="1"/>
  <c r="M8" i="1"/>
  <c r="N8" i="1" s="1"/>
  <c r="M9" i="1"/>
  <c r="M10" i="1"/>
  <c r="M11" i="1"/>
  <c r="M12" i="1"/>
  <c r="N12" i="1" s="1"/>
  <c r="M3" i="1"/>
  <c r="K4" i="1"/>
  <c r="K5" i="1"/>
  <c r="K6" i="1"/>
  <c r="K7" i="1"/>
  <c r="K8" i="1"/>
  <c r="K9" i="1"/>
  <c r="K10" i="1"/>
  <c r="K11" i="1"/>
  <c r="K12" i="1"/>
  <c r="K3" i="1"/>
  <c r="L4" i="1"/>
  <c r="L5" i="1"/>
  <c r="L6" i="1"/>
  <c r="L7" i="1"/>
  <c r="L8" i="1"/>
  <c r="L9" i="1"/>
  <c r="L10" i="1"/>
  <c r="L11" i="1"/>
  <c r="L12" i="1"/>
  <c r="L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H4" i="1"/>
  <c r="H5" i="1"/>
  <c r="H6" i="1"/>
  <c r="H7" i="1"/>
  <c r="H8" i="1"/>
  <c r="H9" i="1"/>
  <c r="H10" i="1"/>
  <c r="H11" i="1"/>
  <c r="H12" i="1"/>
  <c r="G4" i="1"/>
  <c r="G5" i="1"/>
  <c r="G6" i="1"/>
  <c r="G7" i="1"/>
  <c r="G8" i="1"/>
  <c r="G9" i="1"/>
  <c r="G10" i="1"/>
  <c r="G11" i="1"/>
  <c r="G12" i="1"/>
  <c r="F4" i="1"/>
  <c r="F5" i="1"/>
  <c r="F6" i="1"/>
  <c r="F7" i="1"/>
  <c r="F8" i="1"/>
  <c r="F9" i="1"/>
  <c r="F10" i="1"/>
  <c r="F11" i="1"/>
  <c r="F12" i="1"/>
  <c r="I3" i="1"/>
  <c r="H3" i="1"/>
  <c r="G3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N11" i="1" l="1"/>
  <c r="N10" i="1"/>
  <c r="O9" i="1"/>
  <c r="O8" i="1"/>
  <c r="O7" i="1"/>
  <c r="O6" i="1"/>
  <c r="O3" i="1"/>
  <c r="O5" i="1"/>
  <c r="O12" i="1"/>
  <c r="O4" i="1"/>
  <c r="N9" i="1"/>
  <c r="O11" i="1"/>
  <c r="N6" i="1"/>
  <c r="O10" i="1"/>
  <c r="N3" i="1"/>
  <c r="N5" i="1"/>
  <c r="O4" i="4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<sst xmlns="http://schemas.openxmlformats.org/spreadsheetml/2006/main" count="121" uniqueCount="54">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</sst>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0" fontId="3" fillId="0" borderId="0" xfId="1" applyNumberFormat="1" applyFont="1"/>
    <xf numFmtId="2" fontId="3" fillId="0" borderId="0" xfId="0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9"/>
  <sheetViews>
    <sheetView tabSelected="1" zoomScale="120" zoomScaleNormal="120" workbookViewId="0">
      <selection activeCell="N3" sqref="N3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" style="4" customWidth="1"/>
    <col min="7" max="10" width="9" style="4"/>
    <col min="11" max="11" width="9" style="4" hidden="1" customWidth="1"/>
    <col min="12" max="12" width="10" style="4" customWidth="1"/>
    <col min="13" max="13" width="9" style="4"/>
    <col min="14" max="14" width="11.25" style="4" customWidth="1"/>
    <col min="15" max="16384" width="9" style="4"/>
  </cols>
  <sheetData>
    <row r="1" spans="2:15" ht="15.75" thickBot="1"/>
    <row r="2" spans="2:15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31">
        <f>H3*G3</f>
        <v>10833.333333333332</v>
      </c>
      <c r="J3" s="4" t="b">
        <f>G3=I3</f>
        <v>0</v>
      </c>
      <c r="K3" s="4" t="b">
        <f>E3&gt;D3</f>
        <v>0</v>
      </c>
      <c r="L3" s="4" t="b">
        <f>$C$15&lt;=C3</f>
        <v>1</v>
      </c>
      <c r="M3" s="4" t="b">
        <f>G3&gt;=$C$16</f>
        <v>1</v>
      </c>
      <c r="N3" s="4">
        <f>L3*M3</f>
        <v>1</v>
      </c>
      <c r="O3" s="4" t="b">
        <f>L3+M3=2</f>
        <v>1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31">
        <f t="shared" ref="I4:I12" si="3">H4*G4</f>
        <v>13066.666666666668</v>
      </c>
      <c r="J4" s="4" t="b">
        <f t="shared" ref="J4:J12" si="4">G4=I4</f>
        <v>0</v>
      </c>
      <c r="K4" s="4" t="b">
        <f t="shared" ref="K4:K12" si="5">E4&gt;D4</f>
        <v>0</v>
      </c>
      <c r="L4" s="4" t="b">
        <f t="shared" ref="L4:L12" si="6">$C$15&lt;=C4</f>
        <v>1</v>
      </c>
      <c r="M4" s="4" t="b">
        <f t="shared" ref="M4:M12" si="7">G4&gt;=$C$16</f>
        <v>1</v>
      </c>
      <c r="N4" s="4">
        <f t="shared" ref="N4:N12" si="8">L4*M4</f>
        <v>1</v>
      </c>
      <c r="O4" s="4" t="b">
        <f t="shared" ref="O4:O12" si="9">L4+M4=2</f>
        <v>1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31">
        <f t="shared" si="3"/>
        <v>5333.333333333333</v>
      </c>
      <c r="J5" s="4" t="b">
        <f t="shared" si="4"/>
        <v>0</v>
      </c>
      <c r="K5" s="4" t="b">
        <f t="shared" si="5"/>
        <v>0</v>
      </c>
      <c r="L5" s="4" t="b">
        <f t="shared" si="6"/>
        <v>1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31">
        <f t="shared" si="3"/>
        <v>8581.818181818182</v>
      </c>
      <c r="J6" s="4" t="b">
        <f t="shared" si="4"/>
        <v>0</v>
      </c>
      <c r="K6" s="4" t="b">
        <f t="shared" si="5"/>
        <v>0</v>
      </c>
      <c r="L6" s="4" t="b">
        <f t="shared" si="6"/>
        <v>1</v>
      </c>
      <c r="M6" s="4" t="b">
        <f t="shared" si="7"/>
        <v>0</v>
      </c>
      <c r="N6" s="4">
        <f t="shared" si="8"/>
        <v>0</v>
      </c>
      <c r="O6" s="4" t="b">
        <f t="shared" si="9"/>
        <v>0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31">
        <f t="shared" si="3"/>
        <v>11968</v>
      </c>
      <c r="J7" s="4" t="b">
        <f t="shared" si="4"/>
        <v>0</v>
      </c>
      <c r="K7" s="4" t="b">
        <f t="shared" si="5"/>
        <v>0</v>
      </c>
      <c r="L7" s="4" t="b">
        <f t="shared" si="6"/>
        <v>1</v>
      </c>
      <c r="M7" s="4" t="b">
        <f t="shared" si="7"/>
        <v>1</v>
      </c>
      <c r="N7" s="4">
        <f t="shared" si="8"/>
        <v>1</v>
      </c>
      <c r="O7" s="4" t="b">
        <f t="shared" si="9"/>
        <v>1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31">
        <f t="shared" si="3"/>
        <v>7544.4444444444443</v>
      </c>
      <c r="J8" s="4" t="b">
        <f t="shared" si="4"/>
        <v>0</v>
      </c>
      <c r="K8" s="4" t="b">
        <f t="shared" si="5"/>
        <v>0</v>
      </c>
      <c r="L8" s="4" t="b">
        <f t="shared" si="6"/>
        <v>1</v>
      </c>
      <c r="M8" s="4" t="b">
        <f t="shared" si="7"/>
        <v>0</v>
      </c>
      <c r="N8" s="4">
        <f t="shared" si="8"/>
        <v>0</v>
      </c>
      <c r="O8" s="4" t="b">
        <f t="shared" si="9"/>
        <v>0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31">
        <f t="shared" si="3"/>
        <v>16500</v>
      </c>
      <c r="J9" s="4" t="b">
        <f t="shared" si="4"/>
        <v>0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31">
        <f t="shared" si="3"/>
        <v>14300</v>
      </c>
      <c r="J10" s="4" t="b">
        <f t="shared" si="4"/>
        <v>0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31">
        <f t="shared" si="3"/>
        <v>15400</v>
      </c>
      <c r="J11" s="4" t="b">
        <f t="shared" si="4"/>
        <v>0</v>
      </c>
      <c r="K11" s="4" t="b">
        <f t="shared" si="5"/>
        <v>0</v>
      </c>
      <c r="L11" s="4" t="b">
        <f t="shared" si="6"/>
        <v>1</v>
      </c>
      <c r="M11" s="4" t="b">
        <f t="shared" si="7"/>
        <v>1</v>
      </c>
      <c r="N11" s="4">
        <f t="shared" si="8"/>
        <v>1</v>
      </c>
      <c r="O11" s="4" t="b">
        <f t="shared" si="9"/>
        <v>1</v>
      </c>
    </row>
    <row r="12" spans="2:15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31">
        <f t="shared" si="3"/>
        <v>9704.3478260869579</v>
      </c>
      <c r="J12" s="4" t="b">
        <f t="shared" si="4"/>
        <v>0</v>
      </c>
      <c r="K12" s="4" t="b">
        <f t="shared" si="5"/>
        <v>0</v>
      </c>
      <c r="L12" s="4" t="b">
        <f t="shared" si="6"/>
        <v>1</v>
      </c>
      <c r="M12" s="4" t="b">
        <f t="shared" si="7"/>
        <v>0</v>
      </c>
      <c r="N12" s="4">
        <f t="shared" si="8"/>
        <v>0</v>
      </c>
      <c r="O12" s="4" t="b">
        <f t="shared" si="9"/>
        <v>0</v>
      </c>
    </row>
    <row r="14" spans="2:15" ht="15.75" thickBot="1">
      <c r="B14" s="29" t="s">
        <v>51</v>
      </c>
    </row>
    <row r="15" spans="2:15">
      <c r="B15" s="25" t="s">
        <v>48</v>
      </c>
      <c r="C15" s="26">
        <v>2</v>
      </c>
    </row>
    <row r="16" spans="2:15" ht="15.75" thickBot="1">
      <c r="B16" s="27" t="s">
        <v>49</v>
      </c>
      <c r="C16" s="28">
        <v>130000</v>
      </c>
    </row>
    <row r="19" spans="12:12">
      <c r="L19" s="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D28" sqref="D28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625" style="4" customWidth="1"/>
    <col min="7" max="7" width="9" style="4"/>
    <col min="8" max="9" width="11" style="4" customWidth="1"/>
    <col min="10" max="11" width="9" style="4"/>
    <col min="12" max="12" width="12.625" style="4" bestFit="1" customWidth="1"/>
    <col min="13" max="16384" width="9" style="4"/>
  </cols>
  <sheetData>
    <row r="1" spans="2:12" ht="15.75" thickBot="1"/>
    <row r="2" spans="2:12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625" style="4" hidden="1" customWidth="1"/>
    <col min="7" max="7" width="9" style="4"/>
    <col min="8" max="8" width="11" style="4" hidden="1" customWidth="1"/>
    <col min="9" max="9" width="11" style="4" customWidth="1"/>
    <col min="10" max="10" width="17.25" style="4" customWidth="1"/>
    <col min="11" max="11" width="14.25" style="4" customWidth="1"/>
    <col min="12" max="13" width="9" style="4"/>
    <col min="14" max="14" width="19.125" style="4" bestFit="1" customWidth="1"/>
    <col min="15" max="16384" width="9" style="4"/>
  </cols>
  <sheetData>
    <row r="1" spans="2:14" ht="15.75" thickBot="1"/>
    <row r="2" spans="2:14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625" style="4" hidden="1" customWidth="1"/>
    <col min="7" max="7" width="9" style="4"/>
    <col min="8" max="9" width="11" style="4" hidden="1" customWidth="1"/>
    <col min="10" max="10" width="17.25" style="4" hidden="1" customWidth="1"/>
    <col min="11" max="11" width="14.25" style="4" hidden="1" customWidth="1"/>
    <col min="12" max="12" width="10.125" style="4" customWidth="1"/>
    <col min="13" max="13" width="9" style="4"/>
    <col min="14" max="14" width="10.375" style="4" customWidth="1"/>
    <col min="15" max="16384" width="9" style="4"/>
  </cols>
  <sheetData>
    <row r="1" spans="2:15" ht="15.75" thickBot="1"/>
    <row r="2" spans="2:15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>
      <c r="B14" s="29" t="s">
        <v>51</v>
      </c>
    </row>
    <row r="15" spans="2:15">
      <c r="B15" s="25" t="s">
        <v>48</v>
      </c>
      <c r="C15" s="26">
        <v>5</v>
      </c>
    </row>
    <row r="16" spans="2:15" ht="15.7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Юнусов Асилбек Исок угли</cp:lastModifiedBy>
  <dcterms:created xsi:type="dcterms:W3CDTF">2024-07-16T20:11:02Z</dcterms:created>
  <dcterms:modified xsi:type="dcterms:W3CDTF">2026-03-12T09:35:57Z</dcterms:modified>
</cp:coreProperties>
</file>