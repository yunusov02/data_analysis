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silbek\data_analysis\excel\"/>
    </mc:Choice>
  </mc:AlternateContent>
  <xr:revisionPtr revIDLastSave="0" documentId="13_ncr:1_{F72192CD-3601-4F72-8800-AE9DF70A0AC0}" xr6:coauthVersionLast="47" xr6:coauthVersionMax="47" xr10:uidLastSave="{00000000-0000-0000-0000-000000000000}"/>
  <bookViews>
    <workbookView xWindow="-120" yWindow="-120" windowWidth="29040" windowHeight="15840"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8" l="1"/>
  <c r="L4" i="8"/>
  <c r="L5" i="8"/>
  <c r="L6" i="8"/>
  <c r="L7" i="8"/>
  <c r="L8" i="8"/>
  <c r="L9" i="8"/>
  <c r="L10" i="8"/>
  <c r="L11" i="8"/>
  <c r="L12" i="8"/>
  <c r="L13" i="8"/>
  <c r="L14" i="8"/>
  <c r="L15" i="8"/>
  <c r="L16" i="8"/>
  <c r="L17" i="8"/>
  <c r="L18" i="8"/>
  <c r="L19" i="8"/>
  <c r="L20" i="8"/>
  <c r="L21" i="8"/>
  <c r="L2" i="8"/>
  <c r="J3" i="8"/>
  <c r="J4" i="8"/>
  <c r="J5" i="8"/>
  <c r="J6" i="8"/>
  <c r="J7" i="8"/>
  <c r="J8" i="8"/>
  <c r="J9" i="8"/>
  <c r="J10" i="8"/>
  <c r="J11" i="8"/>
  <c r="J12" i="8"/>
  <c r="J13" i="8"/>
  <c r="J14" i="8"/>
  <c r="J15" i="8"/>
  <c r="J16" i="8"/>
  <c r="J17" i="8"/>
  <c r="J18" i="8"/>
  <c r="J19" i="8"/>
  <c r="J20" i="8"/>
  <c r="J21" i="8"/>
  <c r="J2" i="8"/>
  <c r="J22" i="8"/>
  <c r="A6" i="12" a="1"/>
  <c r="A6" i="12" s="1"/>
  <c r="A9" i="12" s="1" a="1"/>
  <c r="A3" i="12"/>
  <c r="Q3" i="8"/>
  <c r="R3" i="8" s="1"/>
  <c r="Q4" i="8"/>
  <c r="R4" i="8" s="1"/>
  <c r="Q5" i="8"/>
  <c r="R5" i="8" s="1"/>
  <c r="Q6" i="8"/>
  <c r="R6" i="8" s="1"/>
  <c r="S6" i="8" s="1"/>
  <c r="Q7" i="8"/>
  <c r="R7" i="8" s="1"/>
  <c r="S7" i="8" s="1"/>
  <c r="Q8" i="8"/>
  <c r="R8" i="8" s="1"/>
  <c r="Q9" i="8"/>
  <c r="Q10" i="8"/>
  <c r="Q11" i="8"/>
  <c r="Q12" i="8"/>
  <c r="Q13" i="8"/>
  <c r="Q14" i="8"/>
  <c r="Q15" i="8"/>
  <c r="Q16" i="8"/>
  <c r="R16" i="8" s="1"/>
  <c r="Q17" i="8"/>
  <c r="R17" i="8" s="1"/>
  <c r="S17" i="8" s="1"/>
  <c r="Q18" i="8"/>
  <c r="R18" i="8" s="1"/>
  <c r="Q19" i="8"/>
  <c r="R19" i="8" s="1"/>
  <c r="S19" i="8" s="1"/>
  <c r="Q20" i="8"/>
  <c r="R20" i="8" s="1"/>
  <c r="Q21" i="8"/>
  <c r="R21" i="8" s="1"/>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I21" i="10" a="1"/>
  <c r="I21" i="10" s="1"/>
  <c r="L2" i="10" a="1"/>
  <c r="L2" i="10" s="1"/>
  <c r="I2" i="10" a="1"/>
  <c r="I2" i="10" s="1"/>
  <c r="J3" i="9"/>
  <c r="J4" i="9"/>
  <c r="J5" i="9"/>
  <c r="J6" i="9"/>
  <c r="J7" i="9"/>
  <c r="J8" i="9"/>
  <c r="J9" i="9"/>
  <c r="J10" i="9"/>
  <c r="J11" i="9"/>
  <c r="J12" i="9"/>
  <c r="J13" i="9"/>
  <c r="J14" i="9"/>
  <c r="J15" i="9"/>
  <c r="J16" i="9"/>
  <c r="J17" i="9"/>
  <c r="J18" i="9"/>
  <c r="J19" i="9"/>
  <c r="J20" i="9"/>
  <c r="J21" i="9"/>
  <c r="S21" i="8" l="1"/>
  <c r="S20" i="8"/>
  <c r="A9" i="12"/>
  <c r="B9" i="12" s="1"/>
  <c r="B13" i="12"/>
  <c r="B21" i="12"/>
  <c r="B14" i="12"/>
  <c r="B22" i="12"/>
  <c r="B15" i="12"/>
  <c r="B23" i="12"/>
  <c r="B12" i="12"/>
  <c r="B16" i="12"/>
  <c r="B24" i="12"/>
  <c r="B17" i="12"/>
  <c r="B25" i="12"/>
  <c r="B10" i="12"/>
  <c r="B18" i="12"/>
  <c r="B20" i="12"/>
  <c r="B11" i="12"/>
  <c r="B19" i="12"/>
  <c r="S4" i="8"/>
  <c r="S16" i="8"/>
  <c r="S3" i="8"/>
  <c r="S18" i="8"/>
  <c r="S8" i="8"/>
  <c r="S5" i="8"/>
  <c r="R9" i="8"/>
  <c r="S9" i="8" s="1"/>
  <c r="R10" i="8"/>
  <c r="S10" i="8" s="1"/>
  <c r="R11" i="8"/>
  <c r="S11" i="8" s="1"/>
  <c r="R12" i="8"/>
  <c r="S12" i="8" s="1"/>
  <c r="R13" i="8"/>
  <c r="S13" i="8" s="1"/>
  <c r="R14" i="8"/>
  <c r="S14" i="8" s="1"/>
  <c r="R15" i="8"/>
  <c r="S15" i="8" s="1"/>
  <c r="R2" i="8"/>
  <c r="S2" i="8" s="1"/>
  <c r="K20" i="11"/>
  <c r="L20" i="11" s="1"/>
  <c r="K14" i="11"/>
  <c r="L14" i="11" s="1"/>
  <c r="K8" i="11"/>
  <c r="L8" i="1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<sst xmlns="http://schemas.openxmlformats.org/spreadsheetml/2006/main" count="609" uniqueCount="95">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</sst>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8">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Skill Count of Applicants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barChart>
        <c:barDir val="bar"/>
        <c:grouping val="clustered"/>
        <c:varyColors val="0"/>
        <c:ser>
          <c:idx val="0"/>
          <c:order val="0"/>
          <c:spPr>
            <a:solidFill>
              <a:schemeClr val="accent1"/>
            </a:solidFill>
            <a:ln>
              <a:noFill/>
            </a:ln>
            <a:effectLst/>
          </c:spPr>
          <c:invertIfNegative val="0"/>
          <c:cat>
            <c:numRef>
              <c:f>Skills!$A$9:$A$24</c:f>
              <c:numCache>
                <c:formatCode>General</c:formatCode>
                <c:ptCount val="16"/>
                <c:pt idx="0">
                  <c:v>0</c:v>
                </c:pt>
                <c:pt idx="1">
                  <c:v>0</c:v>
                </c:pt>
              </c:numCache>
            </c:numRef>
          </c:cat>
          <c:val>
            <c:numRef>
              <c:f>Skills!$B$9:$B$24</c:f>
              <c:numCache>
                <c:formatCode>General</c:formatCode>
                <c:ptCount val="16"/>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F30C-45CA-B8A0-F5AF8B1DA29B}"/>
            </c:ext>
          </c:extLst>
        </c:ser>
        <c:dLbls>
          <c:showLegendKey val="0"/>
          <c:showVal val="0"/>
          <c:showCatName val="0"/>
          <c:showSerName val="0"/>
          <c:showPercent val="0"/>
          <c:showBubbleSize val="0"/>
        </c:dLbls>
        <c:gapWidth val="182"/>
        <c:axId val="1389519888"/>
        <c:axId val="1389514128"/>
      </c:barChart>
      <c:catAx>
        <c:axId val="1389519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89514128"/>
        <c:crosses val="autoZero"/>
        <c:auto val="1"/>
        <c:lblAlgn val="ctr"/>
        <c:lblOffset val="100"/>
        <c:noMultiLvlLbl val="0"/>
      </c:catAx>
      <c:valAx>
        <c:axId val="138951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89519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541337</xdr:colOff>
      <xdr:row>8</xdr:row>
      <xdr:rowOff>12700</xdr:rowOff>
    </xdr:from>
    <xdr:to>
      <xdr:col>10</xdr:col>
      <xdr:colOff>593725</xdr:colOff>
      <xdr:row>26</xdr:row>
      <xdr:rowOff>85725</xdr:rowOff>
    </xdr:to>
    <xdr:graphicFrame macro="">
      <xdr:nvGraphicFramePr>
        <xdr:cNvPr id="3" name="Chart 2">
          <a:extLst>
            <a:ext uri="{FF2B5EF4-FFF2-40B4-BE49-F238E27FC236}">
              <a16:creationId xmlns:a16="http://schemas.microsoft.com/office/drawing/2014/main" id="{A8C6A45A-EB32-62D3-58CF-3F02DAF72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fb t="e">#NAME?</fb>
    <v>4</v>
    <v>1</v>
  </rv>
  <rv s="1">
    <fb t="e">#NAME?</fb>
    <v>4</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2"/>
  <sheetViews>
    <sheetView tabSelected="1" zoomScale="110" zoomScaleNormal="110" workbookViewId="0">
      <selection activeCell="J27" sqref="J27"/>
    </sheetView>
  </sheetViews>
  <sheetFormatPr defaultRowHeight="15" x14ac:dyDescent="0.25"/>
  <cols>
    <col min="1" max="1" width="17.5703125" customWidth="1"/>
    <col min="2" max="2" width="14.28515625" customWidth="1"/>
    <col min="3" max="3" width="27.28515625" hidden="1" customWidth="1"/>
    <col min="4" max="4" width="17.5703125" style="9" hidden="1" customWidth="1"/>
    <col min="5" max="5" width="26.28515625" hidden="1" customWidth="1"/>
    <col min="6" max="6" width="11" hidden="1" customWidth="1"/>
    <col min="7" max="7" width="22" hidden="1" customWidth="1"/>
    <col min="8" max="8" width="40" hidden="1" customWidth="1"/>
    <col min="9" max="9" width="8.85546875" customWidth="1"/>
    <col min="10" max="10" width="34.7109375" customWidth="1"/>
    <col min="11" max="11" width="8.85546875" customWidth="1"/>
    <col min="12" max="12" width="13.28515625" customWidth="1"/>
    <col min="13" max="13" width="15.42578125" customWidth="1"/>
    <col min="14" max="14" width="8.85546875" customWidth="1"/>
    <col min="15" max="15" width="16.42578125" customWidth="1"/>
    <col min="17" max="19" width="0" hidden="1" customWidth="1"/>
  </cols>
  <sheetData>
    <row r="1" spans="1:22" x14ac:dyDescent="0.25">
      <c r="A1" s="2" t="s">
        <v>69</v>
      </c>
      <c r="B1" s="3" t="s">
        <v>2</v>
      </c>
      <c r="C1" s="3" t="s">
        <v>3</v>
      </c>
      <c r="D1" s="10" t="s">
        <v>92</v>
      </c>
      <c r="E1" s="3" t="s">
        <v>0</v>
      </c>
      <c r="F1" s="3" t="s">
        <v>21</v>
      </c>
      <c r="G1" s="3" t="s">
        <v>22</v>
      </c>
      <c r="H1" s="4" t="s">
        <v>4</v>
      </c>
      <c r="J1" s="14" t="s">
        <v>62</v>
      </c>
      <c r="L1" s="14" t="s">
        <v>65</v>
      </c>
      <c r="M1" s="14" t="s">
        <v>66</v>
      </c>
      <c r="O1" s="14" t="s">
        <v>91</v>
      </c>
      <c r="Q1" s="17" t="s">
        <v>64</v>
      </c>
      <c r="R1" s="17"/>
      <c r="S1" s="17"/>
      <c r="T1" s="17" t="s">
        <v>64</v>
      </c>
      <c r="U1" s="17"/>
      <c r="V1" s="17"/>
    </row>
    <row r="2" spans="1:22" x14ac:dyDescent="0.25">
      <c r="A2" s="5" t="s">
        <v>72</v>
      </c>
      <c r="B2" s="1" t="s">
        <v>42</v>
      </c>
      <c r="C2" s="1" t="s">
        <v>1</v>
      </c>
      <c r="D2" s="11">
        <v>44971.640451388892</v>
      </c>
      <c r="E2" s="1" t="s">
        <v>43</v>
      </c>
      <c r="F2" s="1" t="s">
        <v>23</v>
      </c>
      <c r="G2" s="1" t="s">
        <v>24</v>
      </c>
      <c r="H2" s="6" t="s">
        <v>11</v>
      </c>
      <c r="J2" t="str">
        <f>_xlfn.TEXTJOIN(" ", TRUE, F2, G2)</f>
        <v>457 Oak St San Jose, CA, 95101</v>
      </c>
      <c r="L2" t="str">
        <f>LEFT(B2, 5)</f>
        <v>Pam B</v>
      </c>
      <c r="Q2">
        <f>FIND(",", G2)+LEN(", ")</f>
        <v>11</v>
      </c>
      <c r="R2">
        <f>FIND(",",G2,Q2)</f>
        <v>13</v>
      </c>
      <c r="S2" t="str">
        <f>MID(G2,Q2,R2-Q2)</f>
        <v>CA</v>
      </c>
    </row>
    <row r="3" spans="1:22" x14ac:dyDescent="0.25">
      <c r="A3" s="5" t="s">
        <v>71</v>
      </c>
      <c r="B3" s="1" t="s">
        <v>38</v>
      </c>
      <c r="C3" s="1" t="s">
        <v>5</v>
      </c>
      <c r="D3" s="11">
        <v>45055.40662037037</v>
      </c>
      <c r="E3" s="1" t="s">
        <v>39</v>
      </c>
      <c r="F3" s="1" t="s">
        <v>25</v>
      </c>
      <c r="G3" s="1" t="s">
        <v>26</v>
      </c>
      <c r="H3" s="6" t="s">
        <v>14</v>
      </c>
      <c r="J3" t="str">
        <f t="shared" ref="J3:J21" si="0">_xlfn.TEXTJOIN(" ", TRUE, F3, G3)</f>
        <v>203 Birch St Chicago, IL, 60601</v>
      </c>
      <c r="L3" t="str">
        <f t="shared" ref="L3:L21" si="1">LEFT(B3, 5)</f>
        <v>Micha</v>
      </c>
      <c r="Q3">
        <f t="shared" ref="Q3:Q21" si="2">FIND(",", G3)+LEN(", ")</f>
        <v>10</v>
      </c>
      <c r="R3">
        <f t="shared" ref="R3:R21" si="3">FIND(",",G3,Q3)</f>
        <v>12</v>
      </c>
      <c r="S3" t="str">
        <f t="shared" ref="S3:S21" si="4">MID(G3,Q3,R3-Q3)</f>
        <v>IL</v>
      </c>
    </row>
    <row r="4" spans="1:22" x14ac:dyDescent="0.25">
      <c r="A4" s="5" t="s">
        <v>73</v>
      </c>
      <c r="B4" s="1" t="s">
        <v>58</v>
      </c>
      <c r="C4" s="1" t="s">
        <v>12</v>
      </c>
      <c r="D4" s="11">
        <v>45128.729710648149</v>
      </c>
      <c r="E4" s="1" t="s">
        <v>59</v>
      </c>
      <c r="F4" s="1" t="s">
        <v>27</v>
      </c>
      <c r="G4" s="1" t="s">
        <v>26</v>
      </c>
      <c r="H4" s="6" t="s">
        <v>6</v>
      </c>
      <c r="J4" t="str">
        <f t="shared" si="0"/>
        <v>790 Pine St Chicago, IL, 60601</v>
      </c>
      <c r="L4" t="str">
        <f t="shared" si="1"/>
        <v>Kevin</v>
      </c>
      <c r="Q4">
        <f t="shared" si="2"/>
        <v>10</v>
      </c>
      <c r="R4">
        <f t="shared" si="3"/>
        <v>12</v>
      </c>
      <c r="S4" t="str">
        <f t="shared" si="4"/>
        <v>IL</v>
      </c>
    </row>
    <row r="5" spans="1:22" x14ac:dyDescent="0.25">
      <c r="A5" s="5" t="s">
        <v>74</v>
      </c>
      <c r="B5" s="1" t="s">
        <v>42</v>
      </c>
      <c r="C5" s="1" t="s">
        <v>5</v>
      </c>
      <c r="D5" s="11">
        <v>45173.302187499998</v>
      </c>
      <c r="E5" s="1" t="s">
        <v>43</v>
      </c>
      <c r="F5" s="1" t="s">
        <v>23</v>
      </c>
      <c r="G5" s="1" t="s">
        <v>24</v>
      </c>
      <c r="H5" s="6" t="s">
        <v>11</v>
      </c>
      <c r="J5" t="str">
        <f t="shared" si="0"/>
        <v>457 Oak St San Jose, CA, 95101</v>
      </c>
      <c r="L5" t="str">
        <f t="shared" si="1"/>
        <v>Pam B</v>
      </c>
      <c r="Q5">
        <f t="shared" si="2"/>
        <v>11</v>
      </c>
      <c r="R5">
        <f t="shared" si="3"/>
        <v>13</v>
      </c>
      <c r="S5" t="str">
        <f t="shared" si="4"/>
        <v>CA</v>
      </c>
    </row>
    <row r="6" spans="1:22" x14ac:dyDescent="0.25">
      <c r="A6" s="5" t="s">
        <v>75</v>
      </c>
      <c r="B6" s="1" t="s">
        <v>40</v>
      </c>
      <c r="C6" s="1" t="s">
        <v>7</v>
      </c>
      <c r="D6" s="11">
        <v>45248.70857638889</v>
      </c>
      <c r="E6" s="1" t="s">
        <v>41</v>
      </c>
      <c r="F6" s="1" t="s">
        <v>29</v>
      </c>
      <c r="G6" s="1" t="s">
        <v>30</v>
      </c>
      <c r="H6" s="6" t="s">
        <v>10</v>
      </c>
      <c r="J6" t="str">
        <f t="shared" si="0"/>
        <v>459 Oak St Philadelphia, PA, 19101</v>
      </c>
      <c r="L6" t="str">
        <f t="shared" si="1"/>
        <v>Jim H</v>
      </c>
      <c r="Q6">
        <f t="shared" si="2"/>
        <v>15</v>
      </c>
      <c r="R6">
        <f t="shared" si="3"/>
        <v>17</v>
      </c>
      <c r="S6" t="str">
        <f t="shared" si="4"/>
        <v>PA</v>
      </c>
    </row>
    <row r="7" spans="1:22" x14ac:dyDescent="0.25">
      <c r="A7" s="5" t="s">
        <v>76</v>
      </c>
      <c r="B7" s="1" t="s">
        <v>46</v>
      </c>
      <c r="C7" s="1" t="s">
        <v>9</v>
      </c>
      <c r="D7" s="11">
        <v>45302.531921296293</v>
      </c>
      <c r="E7" s="1" t="s">
        <v>47</v>
      </c>
      <c r="F7" s="1" t="s">
        <v>31</v>
      </c>
      <c r="G7" s="1" t="s">
        <v>30</v>
      </c>
      <c r="H7" s="6" t="s">
        <v>15</v>
      </c>
      <c r="J7" t="str">
        <f t="shared" si="0"/>
        <v>204 Birch St Philadelphia, PA, 19101</v>
      </c>
      <c r="L7" t="str">
        <f t="shared" si="1"/>
        <v xml:space="preserve">Ryan </v>
      </c>
      <c r="Q7">
        <f t="shared" si="2"/>
        <v>15</v>
      </c>
      <c r="R7">
        <f t="shared" si="3"/>
        <v>17</v>
      </c>
      <c r="S7" t="str">
        <f t="shared" si="4"/>
        <v>PA</v>
      </c>
    </row>
    <row r="8" spans="1:22" x14ac:dyDescent="0.25">
      <c r="A8" s="5" t="s">
        <v>77</v>
      </c>
      <c r="B8" s="1" t="s">
        <v>58</v>
      </c>
      <c r="C8" s="1" t="s">
        <v>5</v>
      </c>
      <c r="D8" s="11">
        <v>45354.687881944446</v>
      </c>
      <c r="E8" s="1" t="s">
        <v>59</v>
      </c>
      <c r="F8" s="1" t="s">
        <v>27</v>
      </c>
      <c r="G8" s="1" t="s">
        <v>26</v>
      </c>
      <c r="H8" s="6" t="s">
        <v>6</v>
      </c>
      <c r="J8" t="str">
        <f t="shared" si="0"/>
        <v>790 Pine St Chicago, IL, 60601</v>
      </c>
      <c r="L8" t="str">
        <f t="shared" si="1"/>
        <v>Kevin</v>
      </c>
      <c r="Q8">
        <f t="shared" si="2"/>
        <v>10</v>
      </c>
      <c r="R8">
        <f t="shared" si="3"/>
        <v>12</v>
      </c>
      <c r="S8" t="str">
        <f t="shared" si="4"/>
        <v>IL</v>
      </c>
    </row>
    <row r="9" spans="1:22" x14ac:dyDescent="0.25">
      <c r="A9" s="5" t="s">
        <v>78</v>
      </c>
      <c r="B9" s="1" t="s">
        <v>46</v>
      </c>
      <c r="C9" s="1" t="s">
        <v>1</v>
      </c>
      <c r="D9" s="11">
        <v>45408.340810185182</v>
      </c>
      <c r="E9" s="1" t="s">
        <v>47</v>
      </c>
      <c r="F9" s="1" t="s">
        <v>31</v>
      </c>
      <c r="G9" s="1" t="s">
        <v>30</v>
      </c>
      <c r="H9" s="6" t="s">
        <v>15</v>
      </c>
      <c r="J9" t="str">
        <f t="shared" si="0"/>
        <v>204 Birch St Philadelphia, PA, 19101</v>
      </c>
      <c r="L9" t="str">
        <f t="shared" si="1"/>
        <v xml:space="preserve">Ryan </v>
      </c>
      <c r="Q9">
        <f t="shared" si="2"/>
        <v>15</v>
      </c>
      <c r="R9">
        <f t="shared" si="3"/>
        <v>17</v>
      </c>
      <c r="S9" t="str">
        <f t="shared" si="4"/>
        <v>PA</v>
      </c>
    </row>
    <row r="10" spans="1:22" x14ac:dyDescent="0.25">
      <c r="A10" s="5" t="s">
        <v>79</v>
      </c>
      <c r="B10" s="1" t="s">
        <v>50</v>
      </c>
      <c r="C10" s="1" t="s">
        <v>7</v>
      </c>
      <c r="D10" s="11">
        <v>45458.743333333332</v>
      </c>
      <c r="E10" s="1" t="s">
        <v>51</v>
      </c>
      <c r="F10" s="1" t="s">
        <v>33</v>
      </c>
      <c r="G10" s="1" t="s">
        <v>26</v>
      </c>
      <c r="H10" s="6" t="s">
        <v>18</v>
      </c>
      <c r="J10" t="str">
        <f t="shared" si="0"/>
        <v>123 Elm St Chicago, IL, 60601</v>
      </c>
      <c r="L10" t="str">
        <f t="shared" si="1"/>
        <v>Stanl</v>
      </c>
      <c r="Q10">
        <f t="shared" si="2"/>
        <v>10</v>
      </c>
      <c r="R10">
        <f t="shared" si="3"/>
        <v>12</v>
      </c>
      <c r="S10" t="str">
        <f t="shared" si="4"/>
        <v>IL</v>
      </c>
    </row>
    <row r="11" spans="1:22" x14ac:dyDescent="0.25">
      <c r="A11" s="5" t="s">
        <v>80</v>
      </c>
      <c r="B11" s="1" t="s">
        <v>54</v>
      </c>
      <c r="C11" s="1" t="s">
        <v>12</v>
      </c>
      <c r="D11" s="11">
        <v>45480.608055555553</v>
      </c>
      <c r="E11" s="1" t="s">
        <v>55</v>
      </c>
      <c r="F11" s="1" t="s">
        <v>33</v>
      </c>
      <c r="G11" s="1" t="s">
        <v>32</v>
      </c>
      <c r="H11" s="6" t="s">
        <v>13</v>
      </c>
      <c r="J11" t="str">
        <f t="shared" si="0"/>
        <v>123 Elm St Los Angeles, CA, 90001</v>
      </c>
      <c r="L11" t="str">
        <f t="shared" si="1"/>
        <v>Angel</v>
      </c>
      <c r="Q11">
        <f t="shared" si="2"/>
        <v>14</v>
      </c>
      <c r="R11">
        <f t="shared" si="3"/>
        <v>16</v>
      </c>
      <c r="S11" t="str">
        <f t="shared" si="4"/>
        <v>CA</v>
      </c>
    </row>
    <row r="12" spans="1:22" x14ac:dyDescent="0.25">
      <c r="A12" s="5" t="s">
        <v>81</v>
      </c>
      <c r="B12" s="1" t="s">
        <v>44</v>
      </c>
      <c r="C12" s="1" t="s">
        <v>7</v>
      </c>
      <c r="D12" s="11">
        <v>45455.284930555557</v>
      </c>
      <c r="E12" s="1" t="s">
        <v>45</v>
      </c>
      <c r="F12" s="1" t="s">
        <v>33</v>
      </c>
      <c r="G12" s="1" t="s">
        <v>34</v>
      </c>
      <c r="H12" s="6" t="s">
        <v>17</v>
      </c>
      <c r="J12" t="str">
        <f t="shared" si="0"/>
        <v>123 Elm St San Diego, CA, 92101</v>
      </c>
      <c r="L12" t="str">
        <f t="shared" si="1"/>
        <v>Dwigh</v>
      </c>
      <c r="Q12">
        <f t="shared" si="2"/>
        <v>12</v>
      </c>
      <c r="R12">
        <f t="shared" si="3"/>
        <v>14</v>
      </c>
      <c r="S12" t="str">
        <f t="shared" si="4"/>
        <v>CA</v>
      </c>
    </row>
    <row r="13" spans="1:22" x14ac:dyDescent="0.25">
      <c r="A13" s="5" t="s">
        <v>82</v>
      </c>
      <c r="B13" s="1" t="s">
        <v>56</v>
      </c>
      <c r="C13" s="1" t="s">
        <v>9</v>
      </c>
      <c r="D13" s="11">
        <v>44951.552141203705</v>
      </c>
      <c r="E13" s="1" t="s">
        <v>57</v>
      </c>
      <c r="F13" s="1" t="s">
        <v>35</v>
      </c>
      <c r="G13" s="1" t="s">
        <v>26</v>
      </c>
      <c r="H13" s="6" t="s">
        <v>16</v>
      </c>
      <c r="J13" t="str">
        <f t="shared" si="0"/>
        <v>202 Birch St Chicago, IL, 60601</v>
      </c>
      <c r="L13" t="str">
        <f t="shared" si="1"/>
        <v>Oscar</v>
      </c>
      <c r="Q13">
        <f t="shared" si="2"/>
        <v>10</v>
      </c>
      <c r="R13">
        <f t="shared" si="3"/>
        <v>12</v>
      </c>
      <c r="S13" t="str">
        <f t="shared" si="4"/>
        <v>IL</v>
      </c>
    </row>
    <row r="14" spans="1:22" x14ac:dyDescent="0.25">
      <c r="A14" s="5" t="s">
        <v>83</v>
      </c>
      <c r="B14" s="1" t="s">
        <v>46</v>
      </c>
      <c r="C14" s="1" t="s">
        <v>12</v>
      </c>
      <c r="D14" s="11">
        <v>45002.490034722221</v>
      </c>
      <c r="E14" s="1" t="s">
        <v>47</v>
      </c>
      <c r="F14" s="1" t="s">
        <v>31</v>
      </c>
      <c r="G14" s="1" t="s">
        <v>30</v>
      </c>
      <c r="H14" s="6" t="s">
        <v>15</v>
      </c>
      <c r="J14" t="str">
        <f t="shared" si="0"/>
        <v>204 Birch St Philadelphia, PA, 19101</v>
      </c>
      <c r="L14" t="str">
        <f t="shared" si="1"/>
        <v xml:space="preserve">Ryan </v>
      </c>
      <c r="Q14">
        <f t="shared" si="2"/>
        <v>15</v>
      </c>
      <c r="R14">
        <f t="shared" si="3"/>
        <v>17</v>
      </c>
      <c r="S14" t="str">
        <f t="shared" si="4"/>
        <v>PA</v>
      </c>
    </row>
    <row r="15" spans="1:22" x14ac:dyDescent="0.25">
      <c r="A15" s="5" t="s">
        <v>84</v>
      </c>
      <c r="B15" s="1" t="s">
        <v>52</v>
      </c>
      <c r="C15" s="1" t="s">
        <v>9</v>
      </c>
      <c r="D15" s="11">
        <v>45078.417256944442</v>
      </c>
      <c r="E15" s="1" t="s">
        <v>53</v>
      </c>
      <c r="F15" s="1" t="s">
        <v>33</v>
      </c>
      <c r="G15" s="1" t="s">
        <v>26</v>
      </c>
      <c r="H15" s="6" t="s">
        <v>19</v>
      </c>
      <c r="J15" t="str">
        <f t="shared" si="0"/>
        <v>123 Elm St Chicago, IL, 60601</v>
      </c>
      <c r="L15" t="str">
        <f t="shared" si="1"/>
        <v>Phyll</v>
      </c>
      <c r="Q15">
        <f t="shared" si="2"/>
        <v>10</v>
      </c>
      <c r="R15">
        <f t="shared" si="3"/>
        <v>12</v>
      </c>
      <c r="S15" t="str">
        <f t="shared" si="4"/>
        <v>IL</v>
      </c>
    </row>
    <row r="16" spans="1:22" x14ac:dyDescent="0.25">
      <c r="A16" s="5" t="s">
        <v>85</v>
      </c>
      <c r="B16" s="1" t="s">
        <v>60</v>
      </c>
      <c r="C16" s="1" t="s">
        <v>9</v>
      </c>
      <c r="D16" s="11">
        <v>45168.729328703703</v>
      </c>
      <c r="E16" s="1" t="s">
        <v>61</v>
      </c>
      <c r="F16" s="1" t="s">
        <v>28</v>
      </c>
      <c r="G16" s="1" t="s">
        <v>26</v>
      </c>
      <c r="H16" s="6" t="s">
        <v>20</v>
      </c>
      <c r="J16" t="str">
        <f t="shared" si="0"/>
        <v>456 Oak St Chicago, IL, 60601</v>
      </c>
      <c r="L16" t="str">
        <f t="shared" si="1"/>
        <v>Mered</v>
      </c>
      <c r="Q16">
        <f t="shared" si="2"/>
        <v>10</v>
      </c>
      <c r="R16">
        <f t="shared" si="3"/>
        <v>12</v>
      </c>
      <c r="S16" t="str">
        <f t="shared" si="4"/>
        <v>IL</v>
      </c>
    </row>
    <row r="17" spans="1:19" x14ac:dyDescent="0.25">
      <c r="A17" s="5" t="s">
        <v>86</v>
      </c>
      <c r="B17" s="1" t="s">
        <v>38</v>
      </c>
      <c r="C17" s="1" t="s">
        <v>7</v>
      </c>
      <c r="D17" s="11">
        <v>45218.319780092592</v>
      </c>
      <c r="E17" s="1" t="s">
        <v>39</v>
      </c>
      <c r="F17" s="1" t="s">
        <v>25</v>
      </c>
      <c r="G17" s="1" t="s">
        <v>37</v>
      </c>
      <c r="H17" s="6" t="s">
        <v>14</v>
      </c>
      <c r="J17" t="str">
        <f t="shared" si="0"/>
        <v>203 Birch St Chicago, IL, 60602</v>
      </c>
      <c r="L17" t="str">
        <f t="shared" si="1"/>
        <v>Micha</v>
      </c>
      <c r="Q17">
        <f t="shared" si="2"/>
        <v>10</v>
      </c>
      <c r="R17">
        <f t="shared" si="3"/>
        <v>12</v>
      </c>
      <c r="S17" t="str">
        <f t="shared" si="4"/>
        <v>IL</v>
      </c>
    </row>
    <row r="18" spans="1:19" x14ac:dyDescent="0.25">
      <c r="A18" s="5" t="s">
        <v>87</v>
      </c>
      <c r="B18" s="1" t="s">
        <v>40</v>
      </c>
      <c r="C18" s="1" t="s">
        <v>12</v>
      </c>
      <c r="D18" s="11">
        <v>45350.719236111108</v>
      </c>
      <c r="E18" s="1" t="s">
        <v>41</v>
      </c>
      <c r="F18" s="1" t="s">
        <v>29</v>
      </c>
      <c r="G18" s="1" t="s">
        <v>30</v>
      </c>
      <c r="H18" s="6" t="s">
        <v>10</v>
      </c>
      <c r="J18" t="str">
        <f t="shared" si="0"/>
        <v>459 Oak St Philadelphia, PA, 19101</v>
      </c>
      <c r="L18" t="str">
        <f t="shared" si="1"/>
        <v>Jim H</v>
      </c>
      <c r="Q18">
        <f t="shared" si="2"/>
        <v>15</v>
      </c>
      <c r="R18">
        <f t="shared" si="3"/>
        <v>17</v>
      </c>
      <c r="S18" t="str">
        <f t="shared" si="4"/>
        <v>PA</v>
      </c>
    </row>
    <row r="19" spans="1:19" x14ac:dyDescent="0.25">
      <c r="A19" s="5" t="s">
        <v>88</v>
      </c>
      <c r="B19" s="1" t="s">
        <v>48</v>
      </c>
      <c r="C19" s="1" t="s">
        <v>7</v>
      </c>
      <c r="D19" s="11">
        <v>45418.726354166669</v>
      </c>
      <c r="E19" s="1" t="s">
        <v>49</v>
      </c>
      <c r="F19" s="1" t="s">
        <v>28</v>
      </c>
      <c r="G19" s="1" t="s">
        <v>36</v>
      </c>
      <c r="H19" s="6" t="s">
        <v>8</v>
      </c>
      <c r="J19" t="str">
        <f t="shared" si="0"/>
        <v>456 Oak St New York, NY, 10001</v>
      </c>
      <c r="L19" t="str">
        <f t="shared" si="1"/>
        <v>Kelly</v>
      </c>
      <c r="Q19">
        <f t="shared" si="2"/>
        <v>11</v>
      </c>
      <c r="R19">
        <f t="shared" si="3"/>
        <v>13</v>
      </c>
      <c r="S19" t="str">
        <f t="shared" si="4"/>
        <v>NY</v>
      </c>
    </row>
    <row r="20" spans="1:19" x14ac:dyDescent="0.25">
      <c r="A20" s="5" t="s">
        <v>89</v>
      </c>
      <c r="B20" s="1" t="s">
        <v>40</v>
      </c>
      <c r="C20" s="1" t="s">
        <v>9</v>
      </c>
      <c r="D20" s="11">
        <v>45496.291701388887</v>
      </c>
      <c r="E20" s="1" t="s">
        <v>41</v>
      </c>
      <c r="F20" s="1" t="s">
        <v>29</v>
      </c>
      <c r="G20" s="1" t="s">
        <v>30</v>
      </c>
      <c r="H20" s="6" t="s">
        <v>10</v>
      </c>
      <c r="J20" t="str">
        <f t="shared" si="0"/>
        <v>459 Oak St Philadelphia, PA, 19101</v>
      </c>
      <c r="L20" t="str">
        <f t="shared" si="1"/>
        <v>Jim H</v>
      </c>
      <c r="Q20">
        <f t="shared" si="2"/>
        <v>15</v>
      </c>
      <c r="R20">
        <f t="shared" si="3"/>
        <v>17</v>
      </c>
      <c r="S20" t="str">
        <f t="shared" si="4"/>
        <v>PA</v>
      </c>
    </row>
    <row r="21" spans="1:19" ht="15.75" thickBot="1" x14ac:dyDescent="0.3">
      <c r="A21" s="5" t="s">
        <v>90</v>
      </c>
      <c r="B21" s="7" t="s">
        <v>40</v>
      </c>
      <c r="C21" s="7" t="s">
        <v>9</v>
      </c>
      <c r="D21" s="12">
        <v>45422.739884259259</v>
      </c>
      <c r="E21" s="7" t="s">
        <v>41</v>
      </c>
      <c r="F21" s="7" t="s">
        <v>29</v>
      </c>
      <c r="G21" s="7" t="s">
        <v>36</v>
      </c>
      <c r="H21" s="8" t="s">
        <v>10</v>
      </c>
      <c r="J21" t="str">
        <f t="shared" si="0"/>
        <v>459 Oak St New York, NY, 10001</v>
      </c>
      <c r="L21" t="str">
        <f t="shared" si="1"/>
        <v>Jim H</v>
      </c>
      <c r="Q21">
        <f t="shared" si="2"/>
        <v>11</v>
      </c>
      <c r="R21">
        <f t="shared" si="3"/>
        <v>13</v>
      </c>
      <c r="S21" t="str">
        <f t="shared" si="4"/>
        <v>NY</v>
      </c>
    </row>
    <row r="22" spans="1:19" x14ac:dyDescent="0.25">
      <c r="J22" t="str">
        <f t="shared" ref="J3:J22" si="5">_xlfn.TEXTJOIN(" ", TRUE, F22, G22)</f>
        <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topLeftCell="A4" workbookViewId="0"/>
  </sheetViews>
  <sheetFormatPr defaultRowHeight="15" x14ac:dyDescent="0.25"/>
  <cols>
    <col min="1" max="1" width="14.28515625" bestFit="1" customWidth="1"/>
    <col min="2" max="2" width="18.7109375" customWidth="1"/>
    <col min="3" max="3" width="27.28515625" style="9" bestFit="1" customWidth="1"/>
    <col min="4" max="4" width="16.5703125" customWidth="1"/>
    <col min="5" max="5" width="11" bestFit="1" customWidth="1"/>
    <col min="6" max="6" width="22" bestFit="1" customWidth="1"/>
    <col min="7" max="7" width="40" bestFit="1" customWidth="1"/>
    <col min="8" max="8" width="40" customWidth="1"/>
    <col min="9" max="9" width="9" customWidth="1"/>
    <col min="10" max="10" width="29.140625" bestFit="1" customWidth="1"/>
  </cols>
  <sheetData>
    <row r="1" spans="1:10" x14ac:dyDescent="0.25">
      <c r="A1" s="2" t="s">
        <v>69</v>
      </c>
      <c r="B1" s="3" t="s">
        <v>2</v>
      </c>
      <c r="C1" s="3" t="s">
        <v>3</v>
      </c>
      <c r="D1" s="10" t="s">
        <v>92</v>
      </c>
      <c r="E1" s="3" t="s">
        <v>0</v>
      </c>
      <c r="F1" s="3" t="s">
        <v>21</v>
      </c>
      <c r="G1" s="3" t="s">
        <v>22</v>
      </c>
      <c r="H1" s="4" t="s">
        <v>4</v>
      </c>
      <c r="J1" s="14" t="s">
        <v>62</v>
      </c>
    </row>
    <row r="2" spans="1:10" x14ac:dyDescent="0.25">
      <c r="A2" s="5" t="s">
        <v>72</v>
      </c>
      <c r="B2" s="1" t="s">
        <v>42</v>
      </c>
      <c r="C2" s="1" t="s">
        <v>1</v>
      </c>
      <c r="D2" s="11">
        <v>44971.640451388892</v>
      </c>
      <c r="E2" s="1" t="s">
        <v>43</v>
      </c>
      <c r="F2" s="1" t="s">
        <v>23</v>
      </c>
      <c r="G2" s="1" t="s">
        <v>24</v>
      </c>
      <c r="H2" s="6" t="s">
        <v>11</v>
      </c>
      <c r="J2" t="str">
        <f>_xlfn.TEXTJOIN(" ",TRUE,F2,G2)</f>
        <v>457 Oak St San Jose, CA, 95101</v>
      </c>
    </row>
    <row r="3" spans="1:10" x14ac:dyDescent="0.25">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25">
      <c r="A4" s="5" t="s">
        <v>73</v>
      </c>
      <c r="B4" s="1" t="s">
        <v>58</v>
      </c>
      <c r="C4" s="1" t="s">
        <v>12</v>
      </c>
      <c r="D4" s="11">
        <v>45128.729710648149</v>
      </c>
      <c r="E4" s="1" t="s">
        <v>59</v>
      </c>
      <c r="F4" s="1" t="s">
        <v>27</v>
      </c>
      <c r="G4" s="1" t="s">
        <v>26</v>
      </c>
      <c r="H4" s="6" t="s">
        <v>6</v>
      </c>
      <c r="J4" t="str">
        <f t="shared" si="0"/>
        <v>790 Pine St Chicago, IL, 60601</v>
      </c>
    </row>
    <row r="5" spans="1:10" x14ac:dyDescent="0.25">
      <c r="A5" s="5" t="s">
        <v>74</v>
      </c>
      <c r="B5" s="1" t="s">
        <v>42</v>
      </c>
      <c r="C5" s="1" t="s">
        <v>5</v>
      </c>
      <c r="D5" s="11">
        <v>45173.302187499998</v>
      </c>
      <c r="E5" s="1" t="s">
        <v>43</v>
      </c>
      <c r="F5" s="1" t="s">
        <v>23</v>
      </c>
      <c r="G5" s="1" t="s">
        <v>24</v>
      </c>
      <c r="H5" s="6" t="s">
        <v>11</v>
      </c>
      <c r="J5" t="str">
        <f t="shared" si="0"/>
        <v>457 Oak St San Jose, CA, 95101</v>
      </c>
    </row>
    <row r="6" spans="1:10" x14ac:dyDescent="0.25">
      <c r="A6" s="5" t="s">
        <v>75</v>
      </c>
      <c r="B6" s="1" t="s">
        <v>40</v>
      </c>
      <c r="C6" s="1" t="s">
        <v>7</v>
      </c>
      <c r="D6" s="11">
        <v>45248.70857638889</v>
      </c>
      <c r="E6" s="1" t="s">
        <v>41</v>
      </c>
      <c r="F6" s="1" t="s">
        <v>29</v>
      </c>
      <c r="G6" s="1" t="s">
        <v>30</v>
      </c>
      <c r="H6" s="6" t="s">
        <v>10</v>
      </c>
      <c r="J6" t="str">
        <f t="shared" si="0"/>
        <v>459 Oak St Philadelphia, PA, 19101</v>
      </c>
    </row>
    <row r="7" spans="1:10" x14ac:dyDescent="0.25">
      <c r="A7" s="5" t="s">
        <v>76</v>
      </c>
      <c r="B7" s="1" t="s">
        <v>46</v>
      </c>
      <c r="C7" s="1" t="s">
        <v>9</v>
      </c>
      <c r="D7" s="11">
        <v>45302.531921296293</v>
      </c>
      <c r="E7" s="1" t="s">
        <v>47</v>
      </c>
      <c r="F7" s="1" t="s">
        <v>31</v>
      </c>
      <c r="G7" s="1" t="s">
        <v>30</v>
      </c>
      <c r="H7" s="6" t="s">
        <v>15</v>
      </c>
      <c r="J7" t="str">
        <f t="shared" si="0"/>
        <v>204 Birch St Philadelphia, PA, 19101</v>
      </c>
    </row>
    <row r="8" spans="1:10" x14ac:dyDescent="0.25">
      <c r="A8" s="5" t="s">
        <v>77</v>
      </c>
      <c r="B8" s="1" t="s">
        <v>58</v>
      </c>
      <c r="C8" s="1" t="s">
        <v>5</v>
      </c>
      <c r="D8" s="11">
        <v>45354.687881944446</v>
      </c>
      <c r="E8" s="1" t="s">
        <v>59</v>
      </c>
      <c r="F8" s="1" t="s">
        <v>27</v>
      </c>
      <c r="G8" s="1" t="s">
        <v>26</v>
      </c>
      <c r="H8" s="6" t="s">
        <v>6</v>
      </c>
      <c r="J8" t="str">
        <f t="shared" si="0"/>
        <v>790 Pine St Chicago, IL, 60601</v>
      </c>
    </row>
    <row r="9" spans="1:10" x14ac:dyDescent="0.25">
      <c r="A9" s="5" t="s">
        <v>78</v>
      </c>
      <c r="B9" s="1" t="s">
        <v>46</v>
      </c>
      <c r="C9" s="1" t="s">
        <v>1</v>
      </c>
      <c r="D9" s="11">
        <v>45408.340810185182</v>
      </c>
      <c r="E9" s="1" t="s">
        <v>47</v>
      </c>
      <c r="F9" s="1" t="s">
        <v>31</v>
      </c>
      <c r="G9" s="1" t="s">
        <v>30</v>
      </c>
      <c r="H9" s="6" t="s">
        <v>15</v>
      </c>
      <c r="J9" t="str">
        <f t="shared" si="0"/>
        <v>204 Birch St Philadelphia, PA, 19101</v>
      </c>
    </row>
    <row r="10" spans="1:10" x14ac:dyDescent="0.25">
      <c r="A10" s="5" t="s">
        <v>79</v>
      </c>
      <c r="B10" s="1" t="s">
        <v>50</v>
      </c>
      <c r="C10" s="1" t="s">
        <v>7</v>
      </c>
      <c r="D10" s="11">
        <v>45458.743333333332</v>
      </c>
      <c r="E10" s="1" t="s">
        <v>51</v>
      </c>
      <c r="F10" s="1" t="s">
        <v>33</v>
      </c>
      <c r="G10" s="1" t="s">
        <v>26</v>
      </c>
      <c r="H10" s="6" t="s">
        <v>18</v>
      </c>
      <c r="J10" t="str">
        <f t="shared" si="0"/>
        <v>123 Elm St Chicago, IL, 60601</v>
      </c>
    </row>
    <row r="11" spans="1:10" x14ac:dyDescent="0.25">
      <c r="A11" s="5" t="s">
        <v>80</v>
      </c>
      <c r="B11" s="1" t="s">
        <v>54</v>
      </c>
      <c r="C11" s="1" t="s">
        <v>12</v>
      </c>
      <c r="D11" s="11">
        <v>45480.608055555553</v>
      </c>
      <c r="E11" s="1" t="s">
        <v>55</v>
      </c>
      <c r="F11" s="1" t="s">
        <v>33</v>
      </c>
      <c r="G11" s="1" t="s">
        <v>32</v>
      </c>
      <c r="H11" s="6" t="s">
        <v>13</v>
      </c>
      <c r="J11" t="str">
        <f t="shared" si="0"/>
        <v>123 Elm St Los Angeles, CA, 90001</v>
      </c>
    </row>
    <row r="12" spans="1:10" x14ac:dyDescent="0.25">
      <c r="A12" s="5" t="s">
        <v>81</v>
      </c>
      <c r="B12" s="1" t="s">
        <v>44</v>
      </c>
      <c r="C12" s="1" t="s">
        <v>7</v>
      </c>
      <c r="D12" s="11">
        <v>45455.284930555557</v>
      </c>
      <c r="E12" s="1" t="s">
        <v>45</v>
      </c>
      <c r="F12" s="1" t="s">
        <v>33</v>
      </c>
      <c r="G12" s="1" t="s">
        <v>34</v>
      </c>
      <c r="H12" s="6" t="s">
        <v>17</v>
      </c>
      <c r="J12" t="str">
        <f t="shared" si="0"/>
        <v>123 Elm St San Diego, CA, 92101</v>
      </c>
    </row>
    <row r="13" spans="1:10" x14ac:dyDescent="0.25">
      <c r="A13" s="5" t="s">
        <v>82</v>
      </c>
      <c r="B13" s="1" t="s">
        <v>56</v>
      </c>
      <c r="C13" s="1" t="s">
        <v>9</v>
      </c>
      <c r="D13" s="11">
        <v>44951.552141203705</v>
      </c>
      <c r="E13" s="1" t="s">
        <v>57</v>
      </c>
      <c r="F13" s="1" t="s">
        <v>35</v>
      </c>
      <c r="G13" s="1" t="s">
        <v>26</v>
      </c>
      <c r="H13" s="6" t="s">
        <v>16</v>
      </c>
      <c r="J13" t="str">
        <f t="shared" si="0"/>
        <v>202 Birch St Chicago, IL, 60601</v>
      </c>
    </row>
    <row r="14" spans="1:10" x14ac:dyDescent="0.25">
      <c r="A14" s="5" t="s">
        <v>83</v>
      </c>
      <c r="B14" s="1" t="s">
        <v>46</v>
      </c>
      <c r="C14" s="1" t="s">
        <v>12</v>
      </c>
      <c r="D14" s="11">
        <v>45002.490034722221</v>
      </c>
      <c r="E14" s="1" t="s">
        <v>47</v>
      </c>
      <c r="F14" s="1" t="s">
        <v>31</v>
      </c>
      <c r="G14" s="1" t="s">
        <v>30</v>
      </c>
      <c r="H14" s="6" t="s">
        <v>15</v>
      </c>
      <c r="J14" t="str">
        <f t="shared" si="0"/>
        <v>204 Birch St Philadelphia, PA, 19101</v>
      </c>
    </row>
    <row r="15" spans="1:10" x14ac:dyDescent="0.25">
      <c r="A15" s="5" t="s">
        <v>84</v>
      </c>
      <c r="B15" s="1" t="s">
        <v>52</v>
      </c>
      <c r="C15" s="1" t="s">
        <v>9</v>
      </c>
      <c r="D15" s="11">
        <v>45078.417256944442</v>
      </c>
      <c r="E15" s="1" t="s">
        <v>53</v>
      </c>
      <c r="F15" s="1" t="s">
        <v>33</v>
      </c>
      <c r="G15" s="1" t="s">
        <v>26</v>
      </c>
      <c r="H15" s="6" t="s">
        <v>19</v>
      </c>
      <c r="J15" t="str">
        <f t="shared" si="0"/>
        <v>123 Elm St Chicago, IL, 60601</v>
      </c>
    </row>
    <row r="16" spans="1:10" x14ac:dyDescent="0.25">
      <c r="A16" s="5" t="s">
        <v>85</v>
      </c>
      <c r="B16" s="1" t="s">
        <v>60</v>
      </c>
      <c r="C16" s="1" t="s">
        <v>9</v>
      </c>
      <c r="D16" s="11">
        <v>45168.729328703703</v>
      </c>
      <c r="E16" s="1" t="s">
        <v>61</v>
      </c>
      <c r="F16" s="1" t="s">
        <v>28</v>
      </c>
      <c r="G16" s="1" t="s">
        <v>26</v>
      </c>
      <c r="H16" s="6" t="s">
        <v>20</v>
      </c>
      <c r="J16" t="str">
        <f t="shared" si="0"/>
        <v>456 Oak St Chicago, IL, 60601</v>
      </c>
    </row>
    <row r="17" spans="1:10" x14ac:dyDescent="0.25">
      <c r="A17" s="5" t="s">
        <v>86</v>
      </c>
      <c r="B17" s="1" t="s">
        <v>38</v>
      </c>
      <c r="C17" s="1" t="s">
        <v>7</v>
      </c>
      <c r="D17" s="11">
        <v>45218.319780092592</v>
      </c>
      <c r="E17" s="1" t="s">
        <v>39</v>
      </c>
      <c r="F17" s="1" t="s">
        <v>25</v>
      </c>
      <c r="G17" s="1" t="s">
        <v>37</v>
      </c>
      <c r="H17" s="6" t="s">
        <v>14</v>
      </c>
      <c r="J17" t="str">
        <f t="shared" si="0"/>
        <v>203 Birch St Chicago, IL, 60602</v>
      </c>
    </row>
    <row r="18" spans="1:10" x14ac:dyDescent="0.25">
      <c r="A18" s="5" t="s">
        <v>87</v>
      </c>
      <c r="B18" s="1" t="s">
        <v>40</v>
      </c>
      <c r="C18" s="1" t="s">
        <v>12</v>
      </c>
      <c r="D18" s="11">
        <v>45350.719236111108</v>
      </c>
      <c r="E18" s="1" t="s">
        <v>41</v>
      </c>
      <c r="F18" s="1" t="s">
        <v>29</v>
      </c>
      <c r="G18" s="1" t="s">
        <v>30</v>
      </c>
      <c r="H18" s="6" t="s">
        <v>10</v>
      </c>
      <c r="J18" t="str">
        <f t="shared" si="0"/>
        <v>459 Oak St Philadelphia, PA, 19101</v>
      </c>
    </row>
    <row r="19" spans="1:10" x14ac:dyDescent="0.25">
      <c r="A19" s="5" t="s">
        <v>88</v>
      </c>
      <c r="B19" s="1" t="s">
        <v>48</v>
      </c>
      <c r="C19" s="1" t="s">
        <v>7</v>
      </c>
      <c r="D19" s="11">
        <v>45418.726354166669</v>
      </c>
      <c r="E19" s="1" t="s">
        <v>49</v>
      </c>
      <c r="F19" s="1" t="s">
        <v>28</v>
      </c>
      <c r="G19" s="1" t="s">
        <v>36</v>
      </c>
      <c r="H19" s="6" t="s">
        <v>8</v>
      </c>
      <c r="J19" t="str">
        <f t="shared" si="0"/>
        <v>456 Oak St New York, NY, 10001</v>
      </c>
    </row>
    <row r="20" spans="1:10" x14ac:dyDescent="0.25">
      <c r="A20" s="5" t="s">
        <v>89</v>
      </c>
      <c r="B20" s="1" t="s">
        <v>40</v>
      </c>
      <c r="C20" s="1" t="s">
        <v>9</v>
      </c>
      <c r="D20" s="11">
        <v>45496.291701388887</v>
      </c>
      <c r="E20" s="1" t="s">
        <v>41</v>
      </c>
      <c r="F20" s="1" t="s">
        <v>29</v>
      </c>
      <c r="G20" s="1" t="s">
        <v>30</v>
      </c>
      <c r="H20" s="6" t="s">
        <v>10</v>
      </c>
      <c r="J20" t="str">
        <f t="shared" si="0"/>
        <v>459 Oak St Philadelphia, PA, 19101</v>
      </c>
    </row>
    <row r="21" spans="1:10" ht="15.75" thickBot="1" x14ac:dyDescent="0.3">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workbookViewId="0"/>
  </sheetViews>
  <sheetFormatPr defaultRowHeight="15" x14ac:dyDescent="0.25"/>
  <cols>
    <col min="1" max="1" width="14.28515625" bestFit="1" customWidth="1"/>
    <col min="2" max="2" width="23.42578125" bestFit="1" customWidth="1"/>
    <col min="3" max="3" width="29" style="9" customWidth="1"/>
    <col min="4" max="4" width="16" customWidth="1"/>
    <col min="5" max="5" width="11.85546875" customWidth="1"/>
    <col min="6" max="6" width="22" customWidth="1"/>
    <col min="7" max="8" width="40" customWidth="1"/>
    <col min="9" max="9" width="10.5703125" bestFit="1" customWidth="1"/>
    <col min="10" max="10" width="10.140625" bestFit="1" customWidth="1"/>
    <col min="12" max="12" width="27.28515625" bestFit="1" customWidth="1"/>
    <col min="13" max="13" width="17.7109375" bestFit="1" customWidth="1"/>
    <col min="14" max="14" width="18.5703125" bestFit="1" customWidth="1"/>
  </cols>
  <sheetData>
    <row r="1" spans="1:14" x14ac:dyDescent="0.25">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25">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25">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25">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25">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25">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25">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25">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25">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25">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25">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25">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25">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25">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25">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25">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25">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25">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25">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25">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5.75" thickBot="1" x14ac:dyDescent="0.3">
      <c r="A21" s="5" t="s">
        <v>90</v>
      </c>
      <c r="B21" s="7" t="s">
        <v>40</v>
      </c>
      <c r="C21" s="7" t="s">
        <v>9</v>
      </c>
      <c r="D21" s="12">
        <v>45422.739884259259</v>
      </c>
      <c r="E21" s="7" t="s">
        <v>41</v>
      </c>
      <c r="F21" s="7" t="s">
        <v>29</v>
      </c>
      <c r="G21" s="7" t="s">
        <v>36</v>
      </c>
      <c r="H21" s="8" t="s">
        <v>10</v>
      </c>
      <c r="I21" t="str" cm="1">
        <f t="array" ref="I21:J21">_xlfn.TEXTSPLIT(B21," ")</f>
        <v>Jim</v>
      </c>
      <c r="J21" t="str">
        <v>Halpert</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5" x14ac:dyDescent="0.25"/>
  <cols>
    <col min="1" max="1" width="14.28515625" bestFit="1" customWidth="1"/>
    <col min="2" max="2" width="23.42578125" bestFit="1" customWidth="1"/>
    <col min="3" max="3" width="14" style="9" customWidth="1"/>
    <col min="4" max="4" width="16.140625" customWidth="1"/>
    <col min="5" max="5" width="26.140625" customWidth="1"/>
    <col min="6" max="6" width="22" bestFit="1" customWidth="1"/>
    <col min="7" max="7" width="37" customWidth="1"/>
    <col min="8" max="8" width="40" hidden="1" customWidth="1"/>
    <col min="9" max="9" width="11.5703125" hidden="1" customWidth="1"/>
    <col min="10" max="10" width="9.140625" customWidth="1"/>
  </cols>
  <sheetData>
    <row r="1" spans="1:12" x14ac:dyDescent="0.25">
      <c r="A1" s="2" t="s">
        <v>69</v>
      </c>
      <c r="B1" s="3" t="s">
        <v>2</v>
      </c>
      <c r="C1" s="3" t="s">
        <v>3</v>
      </c>
      <c r="D1" s="10" t="s">
        <v>92</v>
      </c>
      <c r="E1" s="3" t="s">
        <v>0</v>
      </c>
      <c r="F1" s="3" t="s">
        <v>21</v>
      </c>
      <c r="G1" s="3" t="s">
        <v>22</v>
      </c>
      <c r="H1" s="4" t="s">
        <v>4</v>
      </c>
      <c r="J1" s="17" t="s">
        <v>64</v>
      </c>
      <c r="K1" s="17"/>
      <c r="L1" s="17"/>
    </row>
    <row r="2" spans="1:12" x14ac:dyDescent="0.25">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25">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25">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25">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25">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25">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25">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25">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25">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25">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25">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25">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25">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25">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25">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25">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25">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25">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25">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5.75" thickBot="1" x14ac:dyDescent="0.3">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F25"/>
  <sheetViews>
    <sheetView zoomScale="120" zoomScaleNormal="120" workbookViewId="0">
      <selection activeCell="N11" sqref="N11"/>
    </sheetView>
  </sheetViews>
  <sheetFormatPr defaultRowHeight="15" x14ac:dyDescent="0.25"/>
  <cols>
    <col min="1" max="1" width="24.42578125" customWidth="1"/>
  </cols>
  <sheetData>
    <row r="2" spans="1:6" x14ac:dyDescent="0.25">
      <c r="A2" s="15" t="s">
        <v>94</v>
      </c>
      <c r="B2" s="16"/>
    </row>
    <row r="3" spans="1:6" x14ac:dyDescent="0.25">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6" x14ac:dyDescent="0.25">
      <c r="A5" s="15" t="s">
        <v>67</v>
      </c>
      <c r="B5" s="16"/>
    </row>
    <row r="6" spans="1:6" x14ac:dyDescent="0.25">
      <c r="A6" t="e" cm="1" vm="1">
        <f t="array" aca="1" ref="A6" ca="1">_xlfn.TEXTSPLIT(A3,", ")</f>
        <v>#NAME?</v>
      </c>
    </row>
    <row r="8" spans="1:6" x14ac:dyDescent="0.25">
      <c r="A8" s="15" t="s">
        <v>68</v>
      </c>
      <c r="B8" s="15" t="s">
        <v>93</v>
      </c>
      <c r="C8" s="16"/>
      <c r="D8" s="16"/>
      <c r="E8" s="16"/>
      <c r="F8" s="16"/>
    </row>
    <row r="9" spans="1:6" x14ac:dyDescent="0.25">
      <c r="A9" s="1" t="e" cm="1" vm="2">
        <f t="array" aca="1" ref="A9:A10" ca="1">_xlfn.UNIQUE(TRANSPOSE(6:6))</f>
        <v>#NAME?</v>
      </c>
      <c r="B9" s="1">
        <f ca="1">COUNTIF($6:$6,A9)</f>
        <v>1</v>
      </c>
    </row>
    <row r="10" spans="1:6" x14ac:dyDescent="0.25">
      <c r="A10" s="1">
        <f ca="1"/>
        <v>0</v>
      </c>
      <c r="B10" s="1">
        <f t="shared" ref="B10:B25" ca="1" si="0">COUNTIF($6:$6,A10)</f>
        <v>0</v>
      </c>
    </row>
    <row r="11" spans="1:6" x14ac:dyDescent="0.25">
      <c r="A11" s="1"/>
      <c r="B11" s="1">
        <f t="shared" ca="1" si="0"/>
        <v>0</v>
      </c>
    </row>
    <row r="12" spans="1:6" x14ac:dyDescent="0.25">
      <c r="A12" s="1"/>
      <c r="B12" s="1">
        <f t="shared" ca="1" si="0"/>
        <v>0</v>
      </c>
    </row>
    <row r="13" spans="1:6" x14ac:dyDescent="0.25">
      <c r="A13" s="1"/>
      <c r="B13" s="1">
        <f t="shared" ca="1" si="0"/>
        <v>0</v>
      </c>
    </row>
    <row r="14" spans="1:6" x14ac:dyDescent="0.25">
      <c r="A14" s="1"/>
      <c r="B14" s="1">
        <f t="shared" ca="1" si="0"/>
        <v>0</v>
      </c>
    </row>
    <row r="15" spans="1:6" x14ac:dyDescent="0.25">
      <c r="A15" s="1"/>
      <c r="B15" s="1">
        <f t="shared" ca="1" si="0"/>
        <v>0</v>
      </c>
    </row>
    <row r="16" spans="1:6" x14ac:dyDescent="0.25">
      <c r="A16" s="1"/>
      <c r="B16" s="1">
        <f t="shared" ca="1" si="0"/>
        <v>0</v>
      </c>
    </row>
    <row r="17" spans="1:2" x14ac:dyDescent="0.25">
      <c r="A17" s="1"/>
      <c r="B17" s="1">
        <f t="shared" ca="1" si="0"/>
        <v>0</v>
      </c>
    </row>
    <row r="18" spans="1:2" x14ac:dyDescent="0.25">
      <c r="A18" s="1"/>
      <c r="B18" s="1">
        <f t="shared" ca="1" si="0"/>
        <v>0</v>
      </c>
    </row>
    <row r="19" spans="1:2" x14ac:dyDescent="0.25">
      <c r="A19" s="1"/>
      <c r="B19" s="1">
        <f t="shared" ca="1" si="0"/>
        <v>0</v>
      </c>
    </row>
    <row r="20" spans="1:2" x14ac:dyDescent="0.25">
      <c r="A20" s="1"/>
      <c r="B20" s="1">
        <f t="shared" ca="1" si="0"/>
        <v>0</v>
      </c>
    </row>
    <row r="21" spans="1:2" x14ac:dyDescent="0.25">
      <c r="A21" s="1"/>
      <c r="B21" s="1">
        <f t="shared" ca="1" si="0"/>
        <v>0</v>
      </c>
    </row>
    <row r="22" spans="1:2" x14ac:dyDescent="0.25">
      <c r="A22" s="1"/>
      <c r="B22" s="1">
        <f t="shared" ca="1" si="0"/>
        <v>0</v>
      </c>
    </row>
    <row r="23" spans="1:2" x14ac:dyDescent="0.25">
      <c r="A23" s="1"/>
      <c r="B23" s="1">
        <f t="shared" ca="1" si="0"/>
        <v>0</v>
      </c>
    </row>
    <row r="24" spans="1:2" x14ac:dyDescent="0.25">
      <c r="A24" s="1"/>
      <c r="B24" s="1">
        <f t="shared" ca="1" si="0"/>
        <v>0</v>
      </c>
    </row>
    <row r="25" spans="1:2" x14ac:dyDescent="0.25">
      <c r="A25" s="1"/>
      <c r="B25" s="1">
        <f t="shared" ca="1" si="0"/>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Юнусов Асилбек Исок угли</cp:lastModifiedBy>
  <dcterms:created xsi:type="dcterms:W3CDTF">2015-06-05T18:17:20Z</dcterms:created>
  <dcterms:modified xsi:type="dcterms:W3CDTF">2026-03-17T08:23:19Z</dcterms:modified>
</cp:coreProperties>
</file>