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silbek\data_analysis\excel\"/>
    </mc:Choice>
  </mc:AlternateContent>
  <xr:revisionPtr revIDLastSave="0" documentId="13_ncr:1_{8E689CB3-7FF7-40C8-83F0-67CB7B75D79D}" xr6:coauthVersionLast="47" xr6:coauthVersionMax="47" xr10:uidLastSave="{00000000-0000-0000-0000-000000000000}"/>
  <bookViews>
    <workbookView xWindow="-120" yWindow="-120" windowWidth="29040" windowHeight="15840" activeTab="4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/>
  <c r="R6" i="10" a="1"/>
  <c r="R6" i="10" s="1"/>
  <c r="R7" i="10" a="1"/>
  <c r="R7" i="10" s="1"/>
  <c r="R8" i="10" a="1"/>
  <c r="R8" i="10" s="1"/>
  <c r="R9" i="10" a="1"/>
  <c r="R9" i="10"/>
  <c r="R10" i="10" a="1"/>
  <c r="R10" i="10" s="1"/>
  <c r="R11" i="10" a="1"/>
  <c r="R11" i="10" s="1"/>
  <c r="R12" i="10" a="1"/>
  <c r="R12" i="10" s="1"/>
  <c r="R13" i="10" a="1"/>
  <c r="R13" i="10"/>
  <c r="R14" i="10" a="1"/>
  <c r="R14" i="10" s="1"/>
  <c r="R15" i="10" a="1"/>
  <c r="R15" i="10" s="1"/>
  <c r="R16" i="10" a="1"/>
  <c r="R16" i="10" s="1"/>
  <c r="R17" i="10" a="1"/>
  <c r="R17" i="10"/>
  <c r="R18" i="10" a="1"/>
  <c r="R18" i="10" s="1"/>
  <c r="R19" i="10" a="1"/>
  <c r="R19" i="10" s="1"/>
  <c r="R20" i="10" a="1"/>
  <c r="R20" i="10" s="1"/>
  <c r="R21" i="10" a="1"/>
  <c r="R21" i="10" s="1"/>
  <c r="R2" i="10" a="1"/>
  <c r="R2" i="10" s="1"/>
  <c r="Q3" i="10" a="1"/>
  <c r="Q3" i="10" s="1"/>
  <c r="Q4" i="10" a="1"/>
  <c r="Q4" i="10" s="1"/>
  <c r="Q5" i="10" a="1"/>
  <c r="Q5" i="10" s="1"/>
  <c r="Q6" i="10" a="1"/>
  <c r="Q6" i="10"/>
  <c r="Q7" i="10" a="1"/>
  <c r="Q7" i="10" s="1"/>
  <c r="Q8" i="10" a="1"/>
  <c r="Q8" i="10" s="1"/>
  <c r="Q9" i="10" a="1"/>
  <c r="Q9" i="10" s="1"/>
  <c r="Q10" i="10" a="1"/>
  <c r="Q10" i="10"/>
  <c r="Q11" i="10" a="1"/>
  <c r="Q11" i="10" s="1"/>
  <c r="Q12" i="10" a="1"/>
  <c r="Q12" i="10" s="1"/>
  <c r="Q13" i="10" a="1"/>
  <c r="Q13" i="10" s="1"/>
  <c r="Q14" i="10" a="1"/>
  <c r="Q14" i="10"/>
  <c r="Q15" i="10" a="1"/>
  <c r="Q15" i="10" s="1"/>
  <c r="Q16" i="10" a="1"/>
  <c r="Q16" i="10" s="1"/>
  <c r="Q17" i="10" a="1"/>
  <c r="Q17" i="10" s="1"/>
  <c r="Q18" i="10" a="1"/>
  <c r="Q18" i="10"/>
  <c r="Q19" i="10" a="1"/>
  <c r="Q19" i="10" s="1"/>
  <c r="Q20" i="10" a="1"/>
  <c r="Q20" i="10" s="1"/>
  <c r="Q21" i="10" a="1"/>
  <c r="Q21" i="10" s="1"/>
  <c r="Q2" i="10" a="1"/>
  <c r="Q2" i="10" s="1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<sst xmlns="http://schemas.openxmlformats.org/spreadsheetml/2006/main" count="395" uniqueCount="144">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</sst>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20" sqref="Q20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8.25" style="1" bestFit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customWidth="1"/>
    <col min="13" max="13" width="9.125" style="1" customWidth="1"/>
    <col min="14" max="14" width="10.375" style="1" hidden="1" customWidth="1"/>
    <col min="15" max="15" width="14.125" style="1" hidden="1" customWidth="1"/>
    <col min="16" max="16" width="9.625" style="1" customWidth="1"/>
    <col min="17" max="17" width="9.125" style="1"/>
    <col min="18" max="18" width="14.125" style="1" bestFit="1" customWidth="1"/>
    <col min="19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 "Goal Met", "Not Met")</f>
        <v>Goal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hidden="1" customWidth="1"/>
    <col min="13" max="13" width="9.125" style="1" hidden="1" customWidth="1"/>
    <col min="14" max="14" width="10.375" style="1" hidden="1" customWidth="1"/>
    <col min="15" max="15" width="14.125" style="1" hidden="1" customWidth="1"/>
    <col min="16" max="16" width="9.625" style="1" hidden="1" customWidth="1"/>
    <col min="17" max="17" width="9.625" style="1" customWidth="1"/>
    <col min="18" max="18" width="9.125" style="1"/>
    <col min="19" max="19" width="14.125" style="1" bestFit="1" customWidth="1"/>
    <col min="20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T10" sqref="T10"/>
    </sheetView>
  </sheetViews>
  <sheetFormatPr defaultRowHeight="14.25"/>
  <cols>
    <col min="1" max="1" width="16.875" bestFit="1" customWidth="1"/>
    <col min="2" max="2" width="19.12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1" hidden="1" customWidth="1"/>
    <col min="12" max="12" width="14.25" hidden="1" customWidth="1"/>
    <col min="13" max="13" width="9.375" hidden="1" customWidth="1"/>
    <col min="14" max="14" width="7.375" hidden="1" customWidth="1"/>
    <col min="15" max="15" width="8.5" hidden="1" customWidth="1"/>
    <col min="16" max="16" width="13.875" hidden="1" customWidth="1"/>
    <col min="17" max="17" width="9.75" customWidth="1"/>
    <col min="18" max="18" width="11.5" customWidth="1"/>
  </cols>
  <sheetData>
    <row r="1" spans="1:18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IF(A2=$K$1, "Desired", "Not Desired")</f>
        <v>Not Desired</v>
      </c>
      <c r="L2" t="str">
        <f>IF(A2=$L$1, "Desired", "NOT Desired")</f>
        <v>NOT Desired</v>
      </c>
      <c r="N2" t="b">
        <f>AND(A2=$K$1, A2=$L$1)</f>
        <v>0</v>
      </c>
      <c r="O2" t="b">
        <f>OR(A2=$K$1, A2=$L$1)</f>
        <v>0</v>
      </c>
      <c r="P2" t="str">
        <f>IF(OR(A2=$K$1, A2=$L$1), "Desired", "Not Desired")</f>
        <v>Not Desired</v>
      </c>
      <c r="Q2" t="str" cm="1">
        <f t="array" ref="Q2">_xlfn.IFS($H2="", "No Data", H2&gt;$Q$1, "HIGH", TRUE, "LOW")</f>
        <v>HIGH</v>
      </c>
      <c r="R2" t="str" cm="1">
        <f t="array" ref="R2">_xlfn.IFS($H2="", "No Data", I2&gt;$Q$1, "HIGH", TRUE, "LOW")</f>
        <v>HIGH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IF(A3=$K$1, "Desired", "Not Desired")</f>
        <v>Desired</v>
      </c>
      <c r="L3" t="str">
        <f t="shared" ref="L3:L21" si="1">IF(A3=$L$1, "Desired", "NOT Desired")</f>
        <v>NOT Desired</v>
      </c>
      <c r="N3" t="b">
        <f t="shared" ref="N3:N21" si="2">AND(A3=$K$1, A3=$L$1)</f>
        <v>0</v>
      </c>
      <c r="O3" t="b">
        <f t="shared" ref="O3:O21" si="3">OR(A3=$K$1, A3=$L$1)</f>
        <v>1</v>
      </c>
      <c r="P3" t="str">
        <f t="shared" ref="P3:P21" si="4">IF(OR(A3=$K$1, A3=$L$1), "Desired", "Not Desired")</f>
        <v>Desired</v>
      </c>
      <c r="Q3" t="str" cm="1">
        <f t="array" ref="Q3">_xlfn.IFS($H3="", "No Data", H3&gt;$Q$1, "HIGH", TRUE, "LOW")</f>
        <v>LOW</v>
      </c>
      <c r="R3" t="str" cm="1">
        <f t="array" ref="R3">_xlfn.IFS($H3="", "No Data", I3&gt;$Q$1, "HIGH", TRUE, "LOW")</f>
        <v>HIGH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Desired</v>
      </c>
      <c r="L4" t="str">
        <f t="shared" si="1"/>
        <v>NOT Desired</v>
      </c>
      <c r="N4" t="b">
        <f t="shared" si="2"/>
        <v>0</v>
      </c>
      <c r="O4" t="b">
        <f t="shared" si="3"/>
        <v>1</v>
      </c>
      <c r="P4" t="str">
        <f t="shared" si="4"/>
        <v>Desired</v>
      </c>
      <c r="Q4" t="str" cm="1">
        <f t="array" ref="Q4">_xlfn.IFS($H4="", "No Data", H4&gt;$Q$1, "HIGH", TRUE, "LOW")</f>
        <v>No Data</v>
      </c>
      <c r="R4" t="str" cm="1">
        <f t="array" ref="R4">_xlfn.IFS($H4="", "No Data", I4&gt;$Q$1, "HIGH", TRUE, "LOW")</f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 cm="1">
        <f t="array" ref="Q5">_xlfn.IFS($H5="", "No Data", H5&gt;$Q$1, "HIGH", TRUE, "LOW")</f>
        <v>No Data</v>
      </c>
      <c r="R5" t="str" cm="1">
        <f t="array" ref="R5">_xlfn.IFS($H5="", "No Data", I5&gt;$Q$1, "HIGH", TRUE, "LOW")</f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 cm="1">
        <f t="array" ref="Q6">_xlfn.IFS($H6="", "No Data", H6&gt;$Q$1, "HIGH", TRUE, "LOW")</f>
        <v>No Data</v>
      </c>
      <c r="R6" t="str" cm="1">
        <f t="array" ref="R6">_xlfn.IFS($H6="", "No Data", I6&gt;$Q$1, "HIGH", TRUE, "LOW")</f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 cm="1">
        <f t="array" ref="Q7">_xlfn.IFS($H7="", "No Data", H7&gt;$Q$1, "HIGH", TRUE, "LOW")</f>
        <v>No Data</v>
      </c>
      <c r="R7" t="str" cm="1">
        <f t="array" ref="R7">_xlfn.IFS($H7="", "No Data", I7&gt;$Q$1, "HIGH", TRUE, "LOW")</f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</v>
      </c>
      <c r="L8" t="str">
        <f t="shared" si="1"/>
        <v>NOT Desired</v>
      </c>
      <c r="N8" t="b">
        <f t="shared" si="2"/>
        <v>0</v>
      </c>
      <c r="O8" t="b">
        <f t="shared" si="3"/>
        <v>1</v>
      </c>
      <c r="P8" t="str">
        <f t="shared" si="4"/>
        <v>Desired</v>
      </c>
      <c r="Q8" t="str" cm="1">
        <f t="array" ref="Q8">_xlfn.IFS($H8="", "No Data", H8&gt;$Q$1, "HIGH", TRUE, "LOW")</f>
        <v>No Data</v>
      </c>
      <c r="R8" t="str" cm="1">
        <f t="array" ref="R8">_xlfn.IFS($H8="", "No Data", I8&gt;$Q$1, "HIGH", TRUE, "LOW")</f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</v>
      </c>
      <c r="L9" t="str">
        <f t="shared" si="1"/>
        <v>NOT Desired</v>
      </c>
      <c r="N9" t="b">
        <f t="shared" si="2"/>
        <v>0</v>
      </c>
      <c r="O9" t="b">
        <f t="shared" si="3"/>
        <v>1</v>
      </c>
      <c r="P9" t="str">
        <f t="shared" si="4"/>
        <v>Desired</v>
      </c>
      <c r="Q9" t="str" cm="1">
        <f t="array" ref="Q9">_xlfn.IFS($H9="", "No Data", H9&gt;$Q$1, "HIGH", TRUE, "LOW")</f>
        <v>HIGH</v>
      </c>
      <c r="R9" t="str" cm="1">
        <f t="array" ref="R9">_xlfn.IFS($H9="", "No Data", I9&gt;$Q$1, "HIGH", TRUE, "LOW")</f>
        <v>HIGH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</v>
      </c>
      <c r="L10" t="str">
        <f t="shared" si="1"/>
        <v>NOT Desired</v>
      </c>
      <c r="N10" t="b">
        <f t="shared" si="2"/>
        <v>0</v>
      </c>
      <c r="O10" t="b">
        <f t="shared" si="3"/>
        <v>1</v>
      </c>
      <c r="P10" t="str">
        <f t="shared" si="4"/>
        <v>Desired</v>
      </c>
      <c r="Q10" t="str" cm="1">
        <f t="array" ref="Q10">_xlfn.IFS($H10="", "No Data", H10&gt;$Q$1, "HIGH", TRUE, "LOW")</f>
        <v>No Data</v>
      </c>
      <c r="R10" t="str" cm="1">
        <f t="array" ref="R10">_xlfn.IFS($H10="", "No Data", I10&gt;$Q$1, "HIGH", TRUE, "LOW")</f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</v>
      </c>
      <c r="L11" t="str">
        <f t="shared" si="1"/>
        <v>NOT Desired</v>
      </c>
      <c r="N11" t="b">
        <f t="shared" si="2"/>
        <v>0</v>
      </c>
      <c r="O11" t="b">
        <f t="shared" si="3"/>
        <v>1</v>
      </c>
      <c r="P11" t="str">
        <f t="shared" si="4"/>
        <v>Desired</v>
      </c>
      <c r="Q11" t="str" cm="1">
        <f t="array" ref="Q11">_xlfn.IFS($H11="", "No Data", H11&gt;$Q$1, "HIGH", TRUE, "LOW")</f>
        <v>HIGH</v>
      </c>
      <c r="R11" t="str" cm="1">
        <f t="array" ref="R11">_xlfn.IFS($H11="", "No Data", I11&gt;$Q$1, "HIGH", TRUE, "LOW")</f>
        <v>HIGH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 cm="1">
        <f t="array" ref="Q12">_xlfn.IFS($H12="", "No Data", H12&gt;$Q$1, "HIGH", TRUE, "LOW")</f>
        <v>HIGH</v>
      </c>
      <c r="R12" t="str" cm="1">
        <f t="array" ref="R12">_xlfn.IFS($H12="", "No Data", I12&gt;$Q$1, "HIGH", TRUE, "LOW")</f>
        <v>HIGH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 cm="1">
        <f t="array" ref="Q13">_xlfn.IFS($H13="", "No Data", H13&gt;$Q$1, "HIGH", TRUE, "LOW")</f>
        <v>HIGH</v>
      </c>
      <c r="R13" t="str" cm="1">
        <f t="array" ref="R13">_xlfn.IFS($H13="", "No Data", I13&gt;$Q$1, "HIGH", TRUE, "LOW")</f>
        <v>HIGH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 cm="1">
        <f t="array" ref="Q14">_xlfn.IFS($H14="", "No Data", H14&gt;$Q$1, "HIGH", TRUE, "LOW")</f>
        <v>HIGH</v>
      </c>
      <c r="R14" t="str" cm="1">
        <f t="array" ref="R14">_xlfn.IFS($H14="", "No Data", I14&gt;$Q$1, "HIGH", TRUE, "LOW")</f>
        <v>HIGH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 cm="1">
        <f t="array" ref="Q15">_xlfn.IFS($H15="", "No Data", H15&gt;$Q$1, "HIGH", TRUE, "LOW")</f>
        <v>LOW</v>
      </c>
      <c r="R15" t="str" cm="1">
        <f t="array" ref="R15">_xlfn.IFS($H15="", "No Data", I15&gt;$Q$1, "HIGH", TRUE, "LOW")</f>
        <v>HIGH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 cm="1">
        <f t="array" ref="Q16">_xlfn.IFS($H16="", "No Data", H16&gt;$Q$1, "HIGH", TRUE, "LOW")</f>
        <v>HIGH</v>
      </c>
      <c r="R16" t="str" cm="1">
        <f t="array" ref="R16">_xlfn.IFS($H16="", "No Data", I16&gt;$Q$1, "HIGH", TRUE, "LOW")</f>
        <v>HIGH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 cm="1">
        <f t="array" ref="Q17">_xlfn.IFS($H17="", "No Data", H17&gt;$Q$1, "HIGH", TRUE, "LOW")</f>
        <v>HIGH</v>
      </c>
      <c r="R17" t="str" cm="1">
        <f t="array" ref="R17">_xlfn.IFS($H17="", "No Data", I17&gt;$Q$1, "HIGH", TRUE, "LOW")</f>
        <v>HIGH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Desired</v>
      </c>
      <c r="N18" t="b">
        <f t="shared" si="2"/>
        <v>0</v>
      </c>
      <c r="O18" t="b">
        <f t="shared" si="3"/>
        <v>1</v>
      </c>
      <c r="P18" t="str">
        <f t="shared" si="4"/>
        <v>Desired</v>
      </c>
      <c r="Q18" t="str" cm="1">
        <f t="array" ref="Q18">_xlfn.IFS($H18="", "No Data", H18&gt;$Q$1, "HIGH", TRUE, "LOW")</f>
        <v>No Data</v>
      </c>
      <c r="R18" t="str" cm="1">
        <f t="array" ref="R18">_xlfn.IFS($H18="", "No Data", I18&gt;$Q$1, "HIGH", TRUE, "LOW")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 cm="1">
        <f t="array" ref="Q19">_xlfn.IFS($H19="", "No Data", H19&gt;$Q$1, "HIGH", TRUE, "LOW")</f>
        <v>HIGH</v>
      </c>
      <c r="R19" t="str" cm="1">
        <f t="array" ref="R19">_xlfn.IFS($H19="", "No Data", I19&gt;$Q$1, "HIGH", TRUE, "LOW")</f>
        <v>HIGH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 cm="1">
        <f t="array" ref="Q20">_xlfn.IFS($H20="", "No Data", H20&gt;$Q$1, "HIGH", TRUE, "LOW")</f>
        <v>No Data</v>
      </c>
      <c r="R20" t="str" cm="1">
        <f t="array" ref="R20">_xlfn.IFS($H20="", "No Data", I20&gt;$Q$1, "HIGH", TRUE, "LOW")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Desired</v>
      </c>
      <c r="N21" t="b">
        <f t="shared" si="2"/>
        <v>0</v>
      </c>
      <c r="O21" t="b">
        <f t="shared" si="3"/>
        <v>1</v>
      </c>
      <c r="P21" t="str">
        <f t="shared" si="4"/>
        <v>Desired</v>
      </c>
      <c r="Q21" t="str" cm="1">
        <f t="array" ref="Q21">_xlfn.IFS($H21="", "No Data", H21&gt;$Q$1, "HIGH", TRUE, "LOW")</f>
        <v>HIGH</v>
      </c>
      <c r="R21" t="str" cm="1">
        <f t="array" ref="R21">_xlfn.IFS($H21="", "No Data", I21&gt;$Q$1, "HIGH", TRUE, "LOW")</f>
        <v>HIGH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25"/>
  <cols>
    <col min="1" max="1" width="16.875" bestFit="1" customWidth="1"/>
    <col min="2" max="2" width="17.37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5.875" bestFit="1" customWidth="1"/>
    <col min="12" max="12" width="19.125" bestFit="1" customWidth="1"/>
    <col min="13" max="13" width="14.25" bestFit="1" customWidth="1"/>
    <col min="14" max="14" width="11.25" bestFit="1" customWidth="1"/>
    <col min="15" max="15" width="10.125" bestFit="1" customWidth="1"/>
    <col min="16" max="16" width="14.25" bestFit="1" customWidth="1"/>
    <col min="17" max="17" width="10.625" bestFit="1" customWidth="1"/>
    <col min="18" max="18" width="12.375" bestFit="1" customWidth="1"/>
  </cols>
  <sheetData>
    <row r="1" spans="1:18 16384:16384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tabSelected="1" workbookViewId="0">
      <selection activeCell="C13" sqref="C13"/>
    </sheetView>
  </sheetViews>
  <sheetFormatPr defaultRowHeight="14.25"/>
  <cols>
    <col min="1" max="1" width="6.625" customWidth="1"/>
    <col min="2" max="2" width="13.375" customWidth="1"/>
    <col min="3" max="3" width="31.375" bestFit="1" customWidth="1"/>
    <col min="4" max="4" width="60.375" bestFit="1" customWidth="1"/>
    <col min="5" max="5" width="19.625" bestFit="1" customWidth="1"/>
    <col min="6" max="6" width="17.625" bestFit="1" customWidth="1"/>
  </cols>
  <sheetData>
    <row r="2" spans="2:6" ht="1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25"/>
  <cols>
    <col min="2" max="2" width="9.875" bestFit="1" customWidth="1"/>
    <col min="3" max="3" width="10.625" customWidth="1"/>
  </cols>
  <sheetData>
    <row r="1" spans="2:5" ht="15" thickBot="1"/>
    <row r="2" spans="2:5" ht="1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Юнусов Асилбек Исок угли</cp:lastModifiedBy>
  <dcterms:created xsi:type="dcterms:W3CDTF">2024-07-16T20:11:02Z</dcterms:created>
  <dcterms:modified xsi:type="dcterms:W3CDTF">2026-03-12T10:27:03Z</dcterms:modified>
</cp:coreProperties>
</file>